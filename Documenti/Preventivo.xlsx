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CD54FF5E-3895-4CD0-AA02-2A70C97655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fferta" sheetId="1" r:id="rId1"/>
  </sheets>
  <definedNames>
    <definedName name="AreaTitoloColonna1..B11.1">Offerta!$B$8</definedName>
    <definedName name="AreaTitoloColonna2..G14.1">Offerta!$B$15</definedName>
    <definedName name="AreaTitoloRiga1..G4">Offerta!$F$4</definedName>
    <definedName name="RowTitleRegion3..D12">Offerta!$B$14</definedName>
    <definedName name="RowTitleRegion4..G26">Offerta!$F$25</definedName>
    <definedName name="_xlnm.Print_Titles" localSheetId="0">Offerta!$18:$18</definedName>
    <definedName name="TitoloColonna1">Offerta[[#Headers],[QUANTITÀ]]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20" i="1"/>
  <c r="G21" i="1"/>
  <c r="G22" i="1"/>
  <c r="G23" i="1"/>
  <c r="G19" i="1"/>
  <c r="G26" i="1" s="1"/>
  <c r="G24" i="1" l="1"/>
  <c r="G28" i="1" s="1"/>
  <c r="G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<sst xmlns="http://schemas.openxmlformats.org/spreadsheetml/2006/main" count="42" uniqueCount="38">
  <si>
    <t>Nome società</t>
  </si>
  <si>
    <t>Via e numero civico</t>
  </si>
  <si>
    <t>CAP città (provincia)</t>
  </si>
  <si>
    <t>Telefono: Immettere il numero di telefono    Fax: Immettere il numero di fax</t>
  </si>
  <si>
    <t>Offerta per:</t>
  </si>
  <si>
    <t>Nome</t>
  </si>
  <si>
    <t>Telefono</t>
  </si>
  <si>
    <t>Commenti o istruzioni speciali:</t>
  </si>
  <si>
    <t>VENDITORE</t>
  </si>
  <si>
    <t>QUANTITÀ</t>
  </si>
  <si>
    <t>Per qualsiasi chiarimento sulla presente offerta, contattare nome, numero di telefono, posta elettronica.</t>
  </si>
  <si>
    <t>GRAZIE PER AVERCI SCELTO</t>
  </si>
  <si>
    <t>ORDINE DI ACQUISTO ORDINE</t>
  </si>
  <si>
    <t>DESCRIZIONE</t>
  </si>
  <si>
    <t>Elemento 1</t>
  </si>
  <si>
    <t>Nessuno</t>
  </si>
  <si>
    <t>DATA SPEDIZIONE</t>
  </si>
  <si>
    <t xml:space="preserve"> </t>
  </si>
  <si>
    <t>SPEDISCI TRAMITE</t>
  </si>
  <si>
    <t>PREZZO UNITARIO</t>
  </si>
  <si>
    <t>Offerta</t>
  </si>
  <si>
    <t>DATA</t>
  </si>
  <si>
    <t>Offerta n.:</t>
  </si>
  <si>
    <t>ID cliente</t>
  </si>
  <si>
    <t>Offerta valida fino al:</t>
  </si>
  <si>
    <t>Preparata da:</t>
  </si>
  <si>
    <t>PUNTO IMBARCO</t>
  </si>
  <si>
    <t>SUBTOTALE</t>
  </si>
  <si>
    <t>ALIQUOTA IVA</t>
  </si>
  <si>
    <t>IVA</t>
  </si>
  <si>
    <t>ALTRO</t>
  </si>
  <si>
    <t>TOTALE</t>
  </si>
  <si>
    <t>ABC123</t>
  </si>
  <si>
    <t>CONDIZIONI</t>
  </si>
  <si>
    <t>Dovuto al ricevimento</t>
  </si>
  <si>
    <t>IMPORTO</t>
  </si>
  <si>
    <t xml:space="preserve">           AXES </t>
  </si>
  <si>
    <t xml:space="preserve">                  Rope Access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</si>
</sst>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&lt;=9999999]###\-####;\(###\)\ ###\-####"/>
    <numFmt numFmtId="165" formatCode="&quot;€&quot;_-\ _-* #,##0.00;&quot;€&quot;_-\ \-* #,##0.00;&quot;€&quot;_-\ _-* &quot;-&quot;??\ ;_-@_-\ "/>
    <numFmt numFmtId="166" formatCode="[&lt;=9999999]####\-####;\(0###\)\ ####\-####"/>
  </numFmts>
  <fonts count="8" x14ac:knownFonts="1">
    <font>
      <sz val="11"/>
      <name val="Arial"/>
      <family val="2"/>
      <scheme val="minor"/>
    </font>
    <font>
      <b/>
      <sz val="10"/>
      <name val="Arial"/>
      <family val="2"/>
    </font>
    <font>
      <sz val="28"/>
      <color theme="1" tint="0.499984740745262"/>
      <name val="Arial"/>
      <family val="2"/>
      <scheme val="major"/>
    </font>
    <font>
      <sz val="11"/>
      <name val="Arial"/>
      <family val="2"/>
      <scheme val="minor"/>
    </font>
    <font>
      <b/>
      <sz val="18"/>
      <color theme="1" tint="0.24994659260841701"/>
      <name val="Arial"/>
      <family val="2"/>
      <scheme val="minor"/>
    </font>
    <font>
      <b/>
      <sz val="11"/>
      <name val="Arial"/>
      <family val="2"/>
      <scheme val="minor"/>
    </font>
    <font>
      <i/>
      <sz val="11"/>
      <name val="Arial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C9FF"/>
        <bgColor indexed="64"/>
      </patternFill>
    </fill>
    <fill>
      <patternFill patternType="solid">
        <fgColor rgb="FFA3B1D1"/>
        <bgColor indexed="64"/>
      </patternFill>
    </fill>
  </fills>
  <borders count="1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/>
      <top/>
      <bottom/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>
      <alignment horizontal="left" vertical="center" wrapText="1"/>
    </xf>
    <xf numFmtId="3" fontId="3" fillId="0" borderId="0" applyFont="0" applyFill="0" applyBorder="0">
      <alignment horizontal="center" vertical="center"/>
    </xf>
    <xf numFmtId="165" fontId="7" fillId="0" borderId="0" applyFont="0" applyFill="0" applyBorder="0" applyProtection="0">
      <alignment horizontal="right" vertical="center"/>
    </xf>
    <xf numFmtId="10" fontId="7" fillId="0" borderId="0" applyFont="0" applyFill="0" applyBorder="0" applyProtection="0">
      <alignment horizontal="right" vertical="center"/>
    </xf>
    <xf numFmtId="0" fontId="2" fillId="0" borderId="0">
      <alignment horizontal="right"/>
    </xf>
    <xf numFmtId="0" fontId="4" fillId="0" borderId="0"/>
    <xf numFmtId="0" fontId="6" fillId="0" borderId="0">
      <alignment horizontal="right"/>
    </xf>
    <xf numFmtId="0" fontId="5" fillId="0" borderId="0">
      <alignment vertical="top"/>
    </xf>
    <xf numFmtId="0" fontId="5" fillId="0" borderId="0">
      <alignment horizontal="right" vertical="center"/>
    </xf>
    <xf numFmtId="0" fontId="3" fillId="0" borderId="1">
      <alignment horizontal="center" vertical="center" wrapText="1"/>
    </xf>
    <xf numFmtId="0" fontId="5" fillId="0" borderId="0">
      <alignment horizontal="center" wrapText="1"/>
    </xf>
    <xf numFmtId="0" fontId="6" fillId="0" borderId="0">
      <alignment horizontal="left" vertical="top" wrapText="1"/>
    </xf>
    <xf numFmtId="0" fontId="3" fillId="0" borderId="0">
      <alignment horizontal="right" vertical="center" indent="1"/>
    </xf>
    <xf numFmtId="164" fontId="3" fillId="0" borderId="0" applyFont="0" applyFill="0" applyBorder="0">
      <alignment horizontal="left" vertical="top"/>
    </xf>
    <xf numFmtId="0" fontId="5" fillId="0" borderId="0">
      <alignment horizontal="right"/>
    </xf>
    <xf numFmtId="0" fontId="3" fillId="2" borderId="1">
      <alignment horizontal="center" vertical="center"/>
    </xf>
    <xf numFmtId="49" fontId="3" fillId="0" borderId="0" applyFont="0" applyFill="0" applyBorder="0">
      <alignment horizontal="center" vertical="center" wrapText="1"/>
    </xf>
    <xf numFmtId="0" fontId="3" fillId="0" borderId="2" applyNumberFormat="0" applyFont="0" applyFill="0" applyAlignment="0">
      <alignment horizontal="left" vertical="center" wrapText="1"/>
    </xf>
    <xf numFmtId="14" fontId="3" fillId="0" borderId="0" applyFont="0" applyFill="0" applyBorder="0">
      <alignment horizontal="center" vertical="center"/>
    </xf>
    <xf numFmtId="0" fontId="3" fillId="0" borderId="0">
      <alignment horizontal="left" vertical="center" wrapText="1"/>
    </xf>
    <xf numFmtId="0" fontId="3" fillId="0" borderId="0">
      <alignment horizontal="left" vertical="center" wrapText="1"/>
    </xf>
    <xf numFmtId="14" fontId="3" fillId="0" borderId="0">
      <alignment horizontal="left"/>
    </xf>
    <xf numFmtId="0" fontId="3" fillId="0" borderId="0" applyNumberFormat="0" applyFont="0" applyFill="0" applyBorder="0">
      <alignment horizontal="left" wrapText="1"/>
    </xf>
  </cellStyleXfs>
  <cellXfs count="73">
    <xf numFmtId="0" fontId="0" fillId="0" borderId="0" xfId="0">
      <alignment horizontal="left" vertical="center" wrapText="1"/>
    </xf>
    <xf numFmtId="0" fontId="0" fillId="3" borderId="0" xfId="0" applyFill="1">
      <alignment horizontal="left" vertical="center" wrapText="1"/>
    </xf>
    <xf numFmtId="0" fontId="6" fillId="3" borderId="0" xfId="11" applyFill="1">
      <alignment horizontal="left" vertical="top" wrapText="1"/>
    </xf>
    <xf numFmtId="0" fontId="0" fillId="4" borderId="0" xfId="0" applyFill="1">
      <alignment horizontal="left" vertical="center" wrapText="1"/>
    </xf>
    <xf numFmtId="0" fontId="0" fillId="0" borderId="0" xfId="0" applyFill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4" fillId="4" borderId="0" xfId="5" applyFill="1"/>
    <xf numFmtId="0" fontId="2" fillId="4" borderId="0" xfId="4" applyFill="1">
      <alignment horizontal="right"/>
    </xf>
    <xf numFmtId="0" fontId="6" fillId="4" borderId="0" xfId="11" applyFill="1">
      <alignment horizontal="left" vertical="top" wrapText="1"/>
    </xf>
    <xf numFmtId="0" fontId="5" fillId="4" borderId="0" xfId="14" applyFill="1">
      <alignment horizontal="right"/>
    </xf>
    <xf numFmtId="14" fontId="3" fillId="4" borderId="0" xfId="21" applyFill="1">
      <alignment horizontal="left"/>
    </xf>
    <xf numFmtId="0" fontId="0" fillId="4" borderId="0" xfId="0" applyFill="1">
      <alignment horizontal="left" vertical="center" wrapText="1"/>
    </xf>
    <xf numFmtId="0" fontId="5" fillId="4" borderId="0" xfId="8" applyFill="1">
      <alignment horizontal="right" vertical="center"/>
    </xf>
    <xf numFmtId="164" fontId="0" fillId="4" borderId="0" xfId="13" applyFont="1" applyFill="1">
      <alignment horizontal="left" vertical="top"/>
    </xf>
    <xf numFmtId="0" fontId="5" fillId="4" borderId="0" xfId="7" applyFill="1">
      <alignment vertical="top"/>
    </xf>
    <xf numFmtId="0" fontId="6" fillId="4" borderId="0" xfId="6" applyFill="1">
      <alignment horizontal="right"/>
    </xf>
    <xf numFmtId="0" fontId="3" fillId="4" borderId="0" xfId="22" applyFill="1">
      <alignment horizontal="left" wrapText="1"/>
    </xf>
    <xf numFmtId="0" fontId="3" fillId="4" borderId="0" xfId="22" applyFill="1">
      <alignment horizontal="left" wrapText="1"/>
    </xf>
    <xf numFmtId="166" fontId="0" fillId="4" borderId="0" xfId="13" applyNumberFormat="1" applyFont="1" applyFill="1">
      <alignment horizontal="left" vertical="top"/>
    </xf>
    <xf numFmtId="0" fontId="6" fillId="4" borderId="0" xfId="7" applyFont="1" applyFill="1">
      <alignment vertical="top"/>
    </xf>
    <xf numFmtId="0" fontId="6" fillId="4" borderId="0" xfId="11" applyFill="1" applyAlignment="1">
      <alignment horizontal="left" vertical="top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right" vertical="center" indent="1"/>
    </xf>
    <xf numFmtId="0" fontId="3" fillId="4" borderId="0" xfId="12" applyFill="1">
      <alignment horizontal="right" vertical="center" indent="1"/>
    </xf>
    <xf numFmtId="0" fontId="0" fillId="4" borderId="0" xfId="0" applyFill="1" applyAlignment="1">
      <alignment horizontal="left" vertical="center"/>
    </xf>
    <xf numFmtId="0" fontId="5" fillId="4" borderId="0" xfId="10" applyFill="1">
      <alignment horizontal="center" wrapText="1"/>
    </xf>
    <xf numFmtId="0" fontId="0" fillId="4" borderId="0" xfId="17" applyFont="1" applyFill="1" applyBorder="1">
      <alignment horizontal="left" vertical="center" wrapText="1"/>
    </xf>
    <xf numFmtId="0" fontId="5" fillId="4" borderId="5" xfId="7" applyFill="1" applyBorder="1">
      <alignment vertical="top"/>
    </xf>
    <xf numFmtId="3" fontId="0" fillId="4" borderId="6" xfId="1" applyFont="1" applyFill="1" applyBorder="1">
      <alignment horizontal="center" vertical="center"/>
    </xf>
    <xf numFmtId="0" fontId="0" fillId="4" borderId="10" xfId="0" applyFill="1" applyBorder="1">
      <alignment horizontal="left" vertical="center" wrapText="1"/>
    </xf>
    <xf numFmtId="0" fontId="6" fillId="4" borderId="5" xfId="11" applyFill="1" applyBorder="1" applyAlignment="1">
      <alignment horizontal="left" vertical="top"/>
    </xf>
    <xf numFmtId="0" fontId="0" fillId="3" borderId="3" xfId="0" applyFill="1" applyBorder="1">
      <alignment horizontal="left" vertical="center" wrapText="1"/>
    </xf>
    <xf numFmtId="165" fontId="0" fillId="4" borderId="4" xfId="2" applyFont="1" applyFill="1" applyBorder="1">
      <alignment horizontal="right" vertical="center"/>
    </xf>
    <xf numFmtId="0" fontId="0" fillId="4" borderId="9" xfId="0" applyFill="1" applyBorder="1">
      <alignment horizontal="left" vertical="center" wrapText="1"/>
    </xf>
    <xf numFmtId="0" fontId="0" fillId="4" borderId="6" xfId="17" applyFont="1" applyFill="1" applyBorder="1">
      <alignment horizontal="left" vertical="center" wrapText="1"/>
    </xf>
    <xf numFmtId="165" fontId="0" fillId="4" borderId="8" xfId="2" applyFont="1" applyFill="1" applyBorder="1">
      <alignment horizontal="right" vertical="center"/>
    </xf>
    <xf numFmtId="0" fontId="0" fillId="4" borderId="12" xfId="17" applyFont="1" applyFill="1" applyBorder="1">
      <alignment horizontal="left" vertical="center" wrapText="1"/>
    </xf>
    <xf numFmtId="49" fontId="0" fillId="4" borderId="11" xfId="16" applyFont="1" applyFill="1" applyBorder="1">
      <alignment horizontal="center" vertical="center" wrapText="1"/>
    </xf>
    <xf numFmtId="165" fontId="0" fillId="4" borderId="13" xfId="2" applyFont="1" applyFill="1" applyBorder="1">
      <alignment horizontal="right" vertical="center"/>
    </xf>
    <xf numFmtId="165" fontId="0" fillId="4" borderId="12" xfId="0" applyNumberFormat="1" applyFill="1" applyBorder="1" applyAlignment="1">
      <alignment horizontal="right" vertical="center"/>
    </xf>
    <xf numFmtId="10" fontId="3" fillId="4" borderId="12" xfId="3" applyFont="1" applyFill="1" applyBorder="1">
      <alignment horizontal="right" vertical="center"/>
    </xf>
    <xf numFmtId="165" fontId="0" fillId="4" borderId="12" xfId="2" applyFont="1" applyFill="1" applyBorder="1">
      <alignment horizontal="right" vertical="center"/>
    </xf>
    <xf numFmtId="165" fontId="3" fillId="4" borderId="10" xfId="2" applyFont="1" applyFill="1" applyBorder="1">
      <alignment horizontal="right" vertical="center"/>
    </xf>
    <xf numFmtId="165" fontId="3" fillId="4" borderId="12" xfId="2" applyFont="1" applyFill="1" applyBorder="1">
      <alignment horizontal="right" vertical="center"/>
    </xf>
    <xf numFmtId="0" fontId="3" fillId="4" borderId="14" xfId="15" applyFill="1" applyBorder="1">
      <alignment horizontal="center" vertical="center"/>
    </xf>
    <xf numFmtId="0" fontId="3" fillId="4" borderId="13" xfId="15" applyFill="1" applyBorder="1">
      <alignment horizontal="center" vertical="center"/>
    </xf>
    <xf numFmtId="0" fontId="3" fillId="4" borderId="12" xfId="15" applyFill="1" applyBorder="1">
      <alignment horizontal="center" vertical="center"/>
    </xf>
    <xf numFmtId="0" fontId="3" fillId="4" borderId="15" xfId="15" applyFill="1" applyBorder="1">
      <alignment horizontal="center" vertical="center"/>
    </xf>
    <xf numFmtId="0" fontId="3" fillId="4" borderId="12" xfId="15" applyFill="1" applyBorder="1" applyAlignment="1">
      <alignment horizontal="center" vertical="center" wrapText="1"/>
    </xf>
    <xf numFmtId="0" fontId="0" fillId="4" borderId="7" xfId="17" applyFont="1" applyFill="1" applyBorder="1" applyAlignment="1">
      <alignment horizontal="center" vertical="center"/>
    </xf>
    <xf numFmtId="0" fontId="0" fillId="4" borderId="8" xfId="0" applyFill="1" applyBorder="1">
      <alignment horizontal="left" vertical="center" wrapText="1"/>
    </xf>
    <xf numFmtId="14" fontId="3" fillId="4" borderId="7" xfId="18" applyFill="1" applyBorder="1">
      <alignment horizontal="center" vertical="center"/>
    </xf>
    <xf numFmtId="0" fontId="3" fillId="4" borderId="6" xfId="9" applyFill="1" applyBorder="1">
      <alignment horizontal="center" vertical="center" wrapText="1"/>
    </xf>
    <xf numFmtId="0" fontId="3" fillId="4" borderId="7" xfId="9" applyFill="1" applyBorder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7" xfId="17" applyFont="1" applyFill="1" applyBorder="1">
      <alignment horizontal="left" vertical="center" wrapText="1"/>
    </xf>
    <xf numFmtId="0" fontId="0" fillId="4" borderId="12" xfId="0" applyFill="1" applyBorder="1">
      <alignment horizontal="left" vertical="center" wrapText="1"/>
    </xf>
    <xf numFmtId="0" fontId="0" fillId="4" borderId="15" xfId="0" applyFill="1" applyBorder="1">
      <alignment horizontal="left" vertical="center" wrapText="1"/>
    </xf>
    <xf numFmtId="3" fontId="0" fillId="4" borderId="12" xfId="1" applyFont="1" applyFill="1" applyBorder="1">
      <alignment horizontal="center" vertical="center"/>
    </xf>
    <xf numFmtId="165" fontId="0" fillId="4" borderId="7" xfId="2" applyFont="1" applyFill="1" applyBorder="1">
      <alignment horizontal="right" vertical="center"/>
    </xf>
    <xf numFmtId="165" fontId="0" fillId="4" borderId="11" xfId="2" applyFont="1" applyFill="1" applyBorder="1">
      <alignment horizontal="right" vertical="center"/>
    </xf>
    <xf numFmtId="0" fontId="0" fillId="4" borderId="16" xfId="0" applyFill="1" applyBorder="1">
      <alignment horizontal="left" vertical="center" wrapText="1"/>
    </xf>
    <xf numFmtId="165" fontId="0" fillId="4" borderId="15" xfId="2" applyFont="1" applyFill="1" applyBorder="1">
      <alignment horizontal="right" vertical="center"/>
    </xf>
    <xf numFmtId="49" fontId="0" fillId="4" borderId="15" xfId="16" applyFont="1" applyFill="1" applyBorder="1">
      <alignment horizontal="center" vertical="center" wrapText="1"/>
    </xf>
    <xf numFmtId="49" fontId="0" fillId="4" borderId="12" xfId="16" applyFont="1" applyFill="1" applyBorder="1">
      <alignment horizontal="center" vertical="center" wrapText="1"/>
    </xf>
    <xf numFmtId="0" fontId="0" fillId="4" borderId="0" xfId="0" applyFill="1" applyBorder="1">
      <alignment horizontal="left" vertical="center" wrapText="1"/>
    </xf>
    <xf numFmtId="0" fontId="3" fillId="4" borderId="15" xfId="9" applyFill="1" applyBorder="1">
      <alignment horizontal="center" vertical="center" wrapText="1"/>
    </xf>
    <xf numFmtId="0" fontId="3" fillId="4" borderId="7" xfId="15" applyFill="1" applyBorder="1">
      <alignment horizontal="center" vertical="center"/>
    </xf>
    <xf numFmtId="0" fontId="3" fillId="4" borderId="17" xfId="9" applyFill="1" applyBorder="1">
      <alignment horizontal="center" vertical="center" wrapText="1"/>
    </xf>
    <xf numFmtId="3" fontId="0" fillId="4" borderId="11" xfId="1" applyFont="1" applyFill="1" applyBorder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3" borderId="0" xfId="0" applyFill="1" applyBorder="1">
      <alignment horizontal="left" vertical="center" wrapText="1"/>
    </xf>
    <xf numFmtId="0" fontId="0" fillId="4" borderId="9" xfId="0" applyFill="1" applyBorder="1" applyAlignment="1">
      <alignment horizontal="center" vertical="center"/>
    </xf>
  </cellXfs>
  <cellStyles count="23">
    <cellStyle name="Campo personalizzato" xfId="17" xr:uid="{00000000-0005-0000-0000-000002000000}"/>
    <cellStyle name="Collegamento ipertestuale" xfId="19" builtinId="8" customBuiltin="1"/>
    <cellStyle name="Collegamento ipertestuale visitato" xfId="20" builtinId="9" customBuiltin="1"/>
    <cellStyle name="Data" xfId="21" xr:uid="{00000000-0005-0000-0000-000003000000}"/>
    <cellStyle name="Data di spedizione" xfId="18" xr:uid="{00000000-0005-0000-0000-000012000000}"/>
    <cellStyle name="Dettagli spedizione" xfId="15" xr:uid="{00000000-0005-0000-0000-000013000000}"/>
    <cellStyle name="Etichetta data" xfId="14" xr:uid="{00000000-0005-0000-0000-000004000000}"/>
    <cellStyle name="Input" xfId="9" builtinId="20" customBuiltin="1"/>
    <cellStyle name="Migliaia" xfId="1" builtinId="3" customBuiltin="1"/>
    <cellStyle name="Nome" xfId="22" xr:uid="{00000000-0005-0000-0000-00000D000000}"/>
    <cellStyle name="Normale" xfId="0" builtinId="0" customBuiltin="1"/>
    <cellStyle name="Nota" xfId="10" builtinId="10" customBuiltin="1"/>
    <cellStyle name="Percentuale" xfId="3" builtinId="5" customBuiltin="1"/>
    <cellStyle name="Tassabile?" xfId="16" xr:uid="{00000000-0005-0000-0000-000014000000}"/>
    <cellStyle name="Telefono" xfId="13" xr:uid="{00000000-0005-0000-0000-000011000000}"/>
    <cellStyle name="Testo descrittivo" xfId="11" builtinId="53" customBuiltin="1"/>
    <cellStyle name="Titolo" xfId="4" builtinId="15" customBuiltin="1"/>
    <cellStyle name="Titolo 1" xfId="5" builtinId="16" customBuiltin="1"/>
    <cellStyle name="Titolo 2" xfId="6" builtinId="17" customBuiltin="1"/>
    <cellStyle name="Titolo 3" xfId="7" builtinId="18" customBuiltin="1"/>
    <cellStyle name="Titolo 4" xfId="8" builtinId="19" customBuiltin="1"/>
    <cellStyle name="Totale" xfId="12" builtinId="25" customBuiltin="1"/>
    <cellStyle name="Valuta" xfId="2" builtinId="4" customBuiltin="1"/>
  </cellStyles>
  <dxfs count="20">
    <dxf>
      <numFmt numFmtId="165" formatCode="&quot;€&quot;_-\ _-* #,##0.00;&quot;€&quot;_-\ \-* #,##0.00;&quot;€&quot;_-\ _-* &quot;-&quot;??\ ;_-@_-\ "/>
      <fill>
        <patternFill patternType="solid">
          <fgColor indexed="64"/>
          <bgColor rgb="FFA3B1D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ill>
        <patternFill patternType="solid">
          <fgColor indexed="64"/>
          <bgColor rgb="FFA3B1D1"/>
        </patternFill>
      </fill>
      <border diagonalUp="0" diagonalDown="0">
        <left/>
        <right/>
        <top style="thin">
          <color theme="1" tint="4.9989318521683403E-2"/>
        </top>
        <bottom/>
        <vertical/>
        <horizontal/>
      </border>
    </dxf>
    <dxf>
      <fill>
        <patternFill patternType="solid">
          <fgColor indexed="64"/>
          <bgColor rgb="FFA3B1D1"/>
        </patternFill>
      </fill>
      <border diagonalUp="0" diagonalDown="0">
        <left/>
        <right/>
        <top style="thin">
          <color theme="1" tint="4.9989318521683403E-2"/>
        </top>
        <bottom/>
        <vertical/>
        <horizontal/>
      </border>
    </dxf>
    <dxf>
      <fill>
        <patternFill patternType="solid">
          <fgColor indexed="64"/>
          <bgColor rgb="FFA3B1D1"/>
        </patternFill>
      </fill>
    </dxf>
    <dxf>
      <fill>
        <patternFill patternType="solid">
          <fgColor indexed="64"/>
          <bgColor rgb="FFA3B1D1"/>
        </patternFill>
      </fill>
    </dxf>
    <dxf>
      <fill>
        <patternFill patternType="solid">
          <fgColor indexed="64"/>
          <bgColor rgb="FFA3B1D1"/>
        </patternFill>
      </fill>
    </dxf>
    <dxf>
      <fill>
        <patternFill patternType="solid">
          <fgColor indexed="64"/>
          <bgColor rgb="FFA3B1D1"/>
        </patternFill>
      </fill>
    </dxf>
    <dxf>
      <fill>
        <patternFill patternType="solid">
          <fgColor indexed="64"/>
          <bgColor rgb="FFA3B1D1"/>
        </patternFill>
      </fill>
      <alignment horizontal="right" vertical="center" textRotation="0" wrapText="0" indent="1" justifyLastLine="0" shrinkToFit="0" readingOrder="0"/>
    </dxf>
    <dxf>
      <fill>
        <patternFill patternType="solid">
          <fgColor indexed="64"/>
          <bgColor rgb="FFA3B1D1"/>
        </patternFill>
      </fill>
    </dxf>
    <dxf>
      <fill>
        <patternFill patternType="solid">
          <fgColor indexed="64"/>
          <bgColor rgb="FFA3B1D1"/>
        </patternFill>
      </fill>
    </dxf>
    <dxf>
      <fill>
        <patternFill patternType="solid">
          <fgColor indexed="64"/>
          <bgColor rgb="FFA3B1D1"/>
        </patternFill>
      </fill>
    </dxf>
    <dxf>
      <fill>
        <patternFill patternType="solid">
          <fgColor indexed="64"/>
          <bgColor rgb="FFA3B1D1"/>
        </patternFill>
      </fill>
    </dxf>
    <dxf>
      <fill>
        <patternFill patternType="solid">
          <fgColor indexed="64"/>
          <bgColor rgb="FFA3B1D1"/>
        </patternFill>
      </fill>
    </dxf>
    <dxf>
      <fill>
        <patternFill patternType="solid">
          <fgColor indexed="64"/>
          <bgColor rgb="FFA3B1D1"/>
        </patternFill>
      </fill>
    </dxf>
    <dxf>
      <fill>
        <patternFill patternType="solid">
          <fgColor indexed="64"/>
          <bgColor rgb="FFA3B1D1"/>
        </patternFill>
      </fill>
    </dxf>
    <dxf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PivotStyle="PivotStyleLight16">
    <tableStyle name="Quotazioni di prezzo con calcolo delle imposte" pivot="0" count="5" xr9:uid="{00000000-0011-0000-FFFF-FFFF00000000}">
      <tableStyleElement type="wholeTable" dxfId="19"/>
      <tableStyleElement type="headerRow" dxfId="18"/>
      <tableStyleElement type="totalRow" dxfId="17"/>
      <tableStyleElement type="lastColumn" dxfId="16"/>
      <tableStyleElement type="lastTotalCell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3B1D1"/>
      <color rgb="FF00C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erta" displayName="Offerta" ref="B18:G24" totalsRowCount="1" headerRowDxfId="5" dataDxfId="3" totalsRowDxfId="4">
  <autoFilter ref="B18:G2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QUANTITÀ" dataDxfId="14" totalsRowDxfId="13"/>
    <tableColumn id="2" xr3:uid="{00000000-0010-0000-0000-000002000000}" name="DESCRIZIONE" dataDxfId="12" totalsRowDxfId="1"/>
    <tableColumn id="3" xr3:uid="{00000000-0010-0000-0000-000003000000}" name=" " dataDxfId="11" totalsRowDxfId="10"/>
    <tableColumn id="4" xr3:uid="{00000000-0010-0000-0000-000004000000}" name="PREZZO UNITARIO" dataDxfId="9" totalsRowDxfId="2"/>
    <tableColumn id="5" xr3:uid="{00000000-0010-0000-0000-000005000000}" name="IVA" totalsRowLabel="SUBTOTALE" dataDxfId="8" totalsRowDxfId="7"/>
    <tableColumn id="6" xr3:uid="{00000000-0010-0000-0000-000006000000}" name="IMPORTO" totalsRowFunction="sum" dataDxfId="6" totalsRowDxfId="0">
      <calculatedColumnFormula>IFERROR(IF(B19,B19*E19,""), "")</calculatedColumnFormula>
    </tableColumn>
  </tableColumns>
  <tableStyleInfo name="Quotazioni di prezzo con calcolo delle imposte" showFirstColumn="0" showLastColumn="1" showRowStripes="1" showColumnStripes="0"/>
  <extLst>
    <ext xmlns:x14="http://schemas.microsoft.com/office/spreadsheetml/2009/9/main" uri="{504A1905-F514-4f6f-8877-14C23A59335A}">
      <x14:table altTextSummary="Immettere quantità, descrizione, prezzo unitario e stato impostabile in questa tabella. Il subtotale viene calcolato automaticamente"/>
    </ext>
  </extLst>
</table>
</file>

<file path=xl/theme/theme1.xml><?xml version="1.0" encoding="utf-8"?>
<a:theme xmlns:a="http://schemas.openxmlformats.org/drawingml/2006/main" name="Office Theme">
  <a:themeElements>
    <a:clrScheme name="Personalizzato 2">
      <a:dk1>
        <a:sysClr val="windowText" lastClr="000000"/>
      </a:dk1>
      <a:lt1>
        <a:sysClr val="window" lastClr="FFFFFF"/>
      </a:lt1>
      <a:dk2>
        <a:srgbClr val="00C9FF"/>
      </a:dk2>
      <a:lt2>
        <a:srgbClr val="00C9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H32"/>
  <sheetViews>
    <sheetView showGridLines="0" tabSelected="1" topLeftCell="A11" workbookViewId="0">
      <selection activeCell="C24" sqref="C24"/>
    </sheetView>
  </sheetViews>
  <sheetFormatPr defaultColWidth="9" defaultRowHeight="30" customHeight="1" x14ac:dyDescent="0.3"/>
  <cols>
    <col min="1" max="1" width="2.58203125" style="4" customWidth="1"/>
    <col min="2" max="2" width="29.5" customWidth="1"/>
    <col min="3" max="3" width="28.75" customWidth="1"/>
    <col min="4" max="4" width="18.25" customWidth="1"/>
    <col min="5" max="5" width="18" bestFit="1" customWidth="1"/>
    <col min="6" max="6" width="21" customWidth="1"/>
    <col min="7" max="7" width="19.08203125" customWidth="1"/>
    <col min="8" max="8" width="2.58203125" customWidth="1"/>
  </cols>
  <sheetData>
    <row r="1" spans="1:8" ht="15.5" customHeight="1" x14ac:dyDescent="0.3">
      <c r="A1" s="1"/>
      <c r="B1" s="1"/>
      <c r="C1" s="1"/>
      <c r="D1" s="1"/>
      <c r="E1" s="1"/>
      <c r="F1" s="1"/>
      <c r="G1" s="1"/>
      <c r="H1" s="1"/>
    </row>
    <row r="2" spans="1:8" ht="66" customHeight="1" x14ac:dyDescent="0.3">
      <c r="A2" s="1"/>
      <c r="B2" s="5" t="e" vm="1">
        <v>#VALUE!</v>
      </c>
      <c r="C2" s="3"/>
      <c r="D2" s="3"/>
      <c r="E2" s="3"/>
      <c r="F2" s="3"/>
      <c r="G2" s="3"/>
      <c r="H2" s="1"/>
    </row>
    <row r="3" spans="1:8" ht="36" customHeight="1" x14ac:dyDescent="0.7">
      <c r="A3" s="2"/>
      <c r="B3" s="6" t="s">
        <v>36</v>
      </c>
      <c r="C3" s="6"/>
      <c r="D3" s="6"/>
      <c r="E3" s="6"/>
      <c r="F3" s="7" t="s">
        <v>20</v>
      </c>
      <c r="G3" s="7"/>
      <c r="H3" s="1"/>
    </row>
    <row r="4" spans="1:8" ht="31" customHeight="1" x14ac:dyDescent="0.3">
      <c r="A4" s="1"/>
      <c r="B4" s="8" t="s">
        <v>37</v>
      </c>
      <c r="C4" s="8"/>
      <c r="D4" s="8"/>
      <c r="E4" s="8"/>
      <c r="F4" s="9" t="s">
        <v>21</v>
      </c>
      <c r="G4" s="10">
        <f ca="1">TODAY()</f>
        <v>46125</v>
      </c>
      <c r="H4" s="1"/>
    </row>
    <row r="5" spans="1:8" ht="15" customHeight="1" x14ac:dyDescent="0.3">
      <c r="A5" s="1"/>
      <c r="B5" s="11" t="s">
        <v>1</v>
      </c>
      <c r="C5" s="11"/>
      <c r="D5" s="11"/>
      <c r="E5" s="11"/>
      <c r="F5" s="12" t="s">
        <v>22</v>
      </c>
      <c r="G5" s="3">
        <v>100</v>
      </c>
      <c r="H5" s="1"/>
    </row>
    <row r="6" spans="1:8" ht="15" customHeight="1" x14ac:dyDescent="0.3">
      <c r="A6" s="1"/>
      <c r="B6" s="11" t="s">
        <v>2</v>
      </c>
      <c r="C6" s="11"/>
      <c r="D6" s="11"/>
      <c r="E6" s="11"/>
      <c r="F6" s="12" t="s">
        <v>23</v>
      </c>
      <c r="G6" s="3" t="s">
        <v>32</v>
      </c>
      <c r="H6" s="1"/>
    </row>
    <row r="7" spans="1:8" ht="30" customHeight="1" x14ac:dyDescent="0.3">
      <c r="A7" s="1"/>
      <c r="B7" s="13" t="s">
        <v>3</v>
      </c>
      <c r="C7" s="13"/>
      <c r="D7" s="13"/>
      <c r="E7" s="13"/>
      <c r="F7" s="3"/>
      <c r="G7" s="3"/>
      <c r="H7" s="1"/>
    </row>
    <row r="8" spans="1:8" ht="15" customHeight="1" x14ac:dyDescent="0.35">
      <c r="A8" s="1"/>
      <c r="B8" s="14" t="s">
        <v>4</v>
      </c>
      <c r="C8" s="14"/>
      <c r="D8" s="14"/>
      <c r="E8" s="14"/>
      <c r="F8" s="15" t="s">
        <v>24</v>
      </c>
      <c r="G8" s="10">
        <f ca="1">TODAY() + 10</f>
        <v>46135</v>
      </c>
      <c r="H8" s="1"/>
    </row>
    <row r="9" spans="1:8" ht="30" customHeight="1" x14ac:dyDescent="0.35">
      <c r="A9" s="1"/>
      <c r="B9" s="16" t="s">
        <v>5</v>
      </c>
      <c r="C9" s="16"/>
      <c r="D9" s="16"/>
      <c r="E9" s="16"/>
      <c r="F9" s="15" t="s">
        <v>25</v>
      </c>
      <c r="G9" s="17" t="s">
        <v>5</v>
      </c>
      <c r="H9" s="1"/>
    </row>
    <row r="10" spans="1:8" ht="15" customHeight="1" x14ac:dyDescent="0.35">
      <c r="A10" s="1"/>
      <c r="B10" s="11" t="s">
        <v>0</v>
      </c>
      <c r="C10" s="11"/>
      <c r="D10" s="11"/>
      <c r="E10" s="11"/>
      <c r="F10" s="15"/>
      <c r="G10" s="3"/>
      <c r="H10" s="1"/>
    </row>
    <row r="11" spans="1:8" ht="15" customHeight="1" x14ac:dyDescent="0.3">
      <c r="A11" s="1"/>
      <c r="B11" s="11" t="s">
        <v>1</v>
      </c>
      <c r="C11" s="11"/>
      <c r="D11" s="11"/>
      <c r="E11" s="11"/>
      <c r="F11" s="3"/>
      <c r="G11" s="3"/>
      <c r="H11" s="1"/>
    </row>
    <row r="12" spans="1:8" ht="15" customHeight="1" x14ac:dyDescent="0.3">
      <c r="A12" s="1"/>
      <c r="B12" s="11" t="s">
        <v>2</v>
      </c>
      <c r="C12" s="11"/>
      <c r="D12" s="11"/>
      <c r="E12" s="11"/>
      <c r="F12" s="3"/>
      <c r="G12" s="3"/>
      <c r="H12" s="1"/>
    </row>
    <row r="13" spans="1:8" ht="45" customHeight="1" x14ac:dyDescent="0.3">
      <c r="A13" s="1"/>
      <c r="B13" s="18" t="s">
        <v>6</v>
      </c>
      <c r="C13" s="18"/>
      <c r="D13" s="18"/>
      <c r="E13" s="18"/>
      <c r="F13" s="3"/>
      <c r="G13" s="3"/>
      <c r="H13" s="1"/>
    </row>
    <row r="14" spans="1:8" ht="45" customHeight="1" x14ac:dyDescent="0.3">
      <c r="A14" s="1"/>
      <c r="B14" s="27" t="s">
        <v>7</v>
      </c>
      <c r="C14" s="19" t="s">
        <v>15</v>
      </c>
      <c r="D14" s="30"/>
      <c r="E14" s="20"/>
      <c r="F14" s="20"/>
      <c r="G14" s="20"/>
      <c r="H14" s="1"/>
    </row>
    <row r="15" spans="1:8" ht="30" customHeight="1" x14ac:dyDescent="0.3">
      <c r="A15" s="1"/>
      <c r="B15" s="67" t="s">
        <v>8</v>
      </c>
      <c r="C15" s="48" t="s">
        <v>12</v>
      </c>
      <c r="D15" s="47" t="s">
        <v>16</v>
      </c>
      <c r="E15" s="46" t="s">
        <v>18</v>
      </c>
      <c r="F15" s="45" t="s">
        <v>26</v>
      </c>
      <c r="G15" s="44" t="s">
        <v>33</v>
      </c>
      <c r="H15" s="1"/>
    </row>
    <row r="16" spans="1:8" ht="30" customHeight="1" x14ac:dyDescent="0.3">
      <c r="A16" s="1"/>
      <c r="B16" s="68"/>
      <c r="C16" s="66"/>
      <c r="D16" s="51"/>
      <c r="E16" s="52"/>
      <c r="F16" s="53"/>
      <c r="G16" s="68" t="s">
        <v>34</v>
      </c>
      <c r="H16" s="71"/>
    </row>
    <row r="17" spans="1:8" ht="30" customHeight="1" x14ac:dyDescent="0.3">
      <c r="A17" s="1"/>
      <c r="B17" s="65"/>
      <c r="C17" s="50"/>
      <c r="D17" s="50"/>
      <c r="E17" s="3"/>
      <c r="F17" s="50"/>
      <c r="G17" s="65"/>
      <c r="H17" s="71"/>
    </row>
    <row r="18" spans="1:8" ht="30" customHeight="1" x14ac:dyDescent="0.3">
      <c r="A18" s="1"/>
      <c r="B18" s="70" t="s">
        <v>9</v>
      </c>
      <c r="C18" s="21" t="s">
        <v>13</v>
      </c>
      <c r="D18" s="49" t="s">
        <v>17</v>
      </c>
      <c r="E18" s="54" t="s">
        <v>19</v>
      </c>
      <c r="F18" s="72" t="s">
        <v>29</v>
      </c>
      <c r="G18" s="70" t="s">
        <v>35</v>
      </c>
      <c r="H18" s="1"/>
    </row>
    <row r="19" spans="1:8" ht="30" customHeight="1" x14ac:dyDescent="0.3">
      <c r="A19" s="1"/>
      <c r="B19" s="69">
        <v>34</v>
      </c>
      <c r="C19" s="56" t="s">
        <v>14</v>
      </c>
      <c r="D19" s="55"/>
      <c r="E19" s="59">
        <v>44</v>
      </c>
      <c r="F19" s="64"/>
      <c r="G19" s="32">
        <f>IFERROR(IF(B19,B19*E19,""), "")</f>
        <v>1496</v>
      </c>
      <c r="H19" s="1"/>
    </row>
    <row r="20" spans="1:8" ht="30" customHeight="1" x14ac:dyDescent="0.3">
      <c r="A20" s="1"/>
      <c r="B20" s="58"/>
      <c r="C20" s="57"/>
      <c r="D20" s="34"/>
      <c r="E20" s="41"/>
      <c r="F20" s="63"/>
      <c r="G20" s="62" t="str">
        <f t="shared" ref="G20:G23" si="0">IFERROR(IF(B20,B20*E20,""), "")</f>
        <v/>
      </c>
      <c r="H20" s="1"/>
    </row>
    <row r="21" spans="1:8" ht="30" customHeight="1" x14ac:dyDescent="0.3">
      <c r="A21" s="1"/>
      <c r="B21" s="58"/>
      <c r="C21" s="56"/>
      <c r="D21" s="26"/>
      <c r="E21" s="41"/>
      <c r="F21" s="63"/>
      <c r="G21" s="62" t="str">
        <f t="shared" si="0"/>
        <v/>
      </c>
      <c r="H21" s="1"/>
    </row>
    <row r="22" spans="1:8" ht="30" customHeight="1" x14ac:dyDescent="0.3">
      <c r="A22" s="1"/>
      <c r="B22" s="28"/>
      <c r="C22" s="61"/>
      <c r="D22" s="36"/>
      <c r="E22" s="60"/>
      <c r="F22" s="64"/>
      <c r="G22" s="41" t="str">
        <f t="shared" si="0"/>
        <v/>
      </c>
      <c r="H22" s="31"/>
    </row>
    <row r="23" spans="1:8" ht="30" customHeight="1" x14ac:dyDescent="0.3">
      <c r="A23" s="1"/>
      <c r="B23" s="28"/>
      <c r="C23" s="29"/>
      <c r="D23" s="36"/>
      <c r="E23" s="35"/>
      <c r="F23" s="37"/>
      <c r="G23" s="38" t="str">
        <f t="shared" si="0"/>
        <v/>
      </c>
      <c r="H23" s="31"/>
    </row>
    <row r="24" spans="1:8" ht="30" customHeight="1" x14ac:dyDescent="0.3">
      <c r="A24" s="1"/>
      <c r="B24" s="3"/>
      <c r="C24" s="33"/>
      <c r="D24" s="3"/>
      <c r="E24" s="33"/>
      <c r="F24" s="22" t="s">
        <v>27</v>
      </c>
      <c r="G24" s="39">
        <f>SUBTOTAL(109,Offerta[IMPORTO])</f>
        <v>1496</v>
      </c>
      <c r="H24" s="31"/>
    </row>
    <row r="25" spans="1:8" ht="30" customHeight="1" x14ac:dyDescent="0.3">
      <c r="A25" s="1"/>
      <c r="B25" s="3"/>
      <c r="C25" s="3"/>
      <c r="D25" s="3"/>
      <c r="E25" s="3"/>
      <c r="F25" s="23" t="s">
        <v>28</v>
      </c>
      <c r="G25" s="40">
        <v>8.5999999999999993E-2</v>
      </c>
      <c r="H25" s="1"/>
    </row>
    <row r="26" spans="1:8" ht="30" customHeight="1" x14ac:dyDescent="0.3">
      <c r="A26" s="1"/>
      <c r="B26" s="3"/>
      <c r="C26" s="3"/>
      <c r="D26" s="3"/>
      <c r="E26" s="3"/>
      <c r="F26" s="23" t="s">
        <v>29</v>
      </c>
      <c r="G26" s="41">
        <f>IFERROR(G25*SUMIF(F19:F23,"T",G19:G23), "")</f>
        <v>0</v>
      </c>
      <c r="H26" s="1"/>
    </row>
    <row r="27" spans="1:8" ht="30" customHeight="1" x14ac:dyDescent="0.3">
      <c r="A27" s="1"/>
      <c r="B27" s="3"/>
      <c r="C27" s="3"/>
      <c r="D27" s="3"/>
      <c r="E27" s="3"/>
      <c r="F27" s="23" t="s">
        <v>30</v>
      </c>
      <c r="G27" s="42">
        <v>0</v>
      </c>
      <c r="H27" s="1"/>
    </row>
    <row r="28" spans="1:8" ht="30" customHeight="1" x14ac:dyDescent="0.3">
      <c r="A28" s="1"/>
      <c r="B28" s="3"/>
      <c r="C28" s="3"/>
      <c r="D28" s="3"/>
      <c r="E28" s="3"/>
      <c r="F28" s="23" t="s">
        <v>31</v>
      </c>
      <c r="G28" s="43">
        <f>IFERROR(Offerta[[#Totals],[IMPORTO]]+G26+G27, "")</f>
        <v>1496</v>
      </c>
      <c r="H28" s="31"/>
    </row>
    <row r="29" spans="1:8" ht="30" customHeight="1" x14ac:dyDescent="0.3">
      <c r="A29" s="1"/>
      <c r="B29" s="24" t="s">
        <v>10</v>
      </c>
      <c r="C29" s="24"/>
      <c r="D29" s="24"/>
      <c r="E29" s="24"/>
      <c r="F29" s="24"/>
      <c r="G29" s="24"/>
      <c r="H29" s="1"/>
    </row>
    <row r="30" spans="1:8" ht="30" hidden="1" customHeight="1" x14ac:dyDescent="0.3">
      <c r="A30" s="1"/>
      <c r="B30" s="24"/>
      <c r="C30" s="24"/>
      <c r="D30" s="24"/>
      <c r="E30" s="24"/>
      <c r="F30" s="24"/>
      <c r="G30" s="24"/>
      <c r="H30" s="1"/>
    </row>
    <row r="31" spans="1:8" ht="30" customHeight="1" x14ac:dyDescent="0.3">
      <c r="A31" s="1"/>
      <c r="B31" s="25" t="s">
        <v>11</v>
      </c>
      <c r="C31" s="25"/>
      <c r="D31" s="25"/>
      <c r="E31" s="25"/>
      <c r="F31" s="25"/>
      <c r="G31" s="25"/>
      <c r="H31" s="1"/>
    </row>
    <row r="32" spans="1:8" ht="15.5" customHeight="1" x14ac:dyDescent="0.3">
      <c r="A32" s="1"/>
      <c r="B32" s="1"/>
      <c r="C32" s="1"/>
      <c r="D32" s="1"/>
      <c r="E32" s="1"/>
      <c r="F32" s="1"/>
      <c r="G32" s="1"/>
      <c r="H32" s="1"/>
    </row>
  </sheetData>
  <dataConsolidate/>
  <mergeCells count="13">
    <mergeCell ref="F3:G3"/>
    <mergeCell ref="B3:E3"/>
    <mergeCell ref="B31:G31"/>
    <mergeCell ref="B7:E7"/>
    <mergeCell ref="B4:E4"/>
    <mergeCell ref="B5:E5"/>
    <mergeCell ref="B6:E6"/>
    <mergeCell ref="B8:E8"/>
    <mergeCell ref="B9:E9"/>
    <mergeCell ref="B10:E10"/>
    <mergeCell ref="B11:E11"/>
    <mergeCell ref="B12:E12"/>
    <mergeCell ref="B13:E13"/>
  </mergeCells>
  <phoneticPr fontId="1" type="noConversion"/>
  <dataValidations xWindow="108" yWindow="336" count="52">
    <dataValidation allowBlank="1" showInputMessage="1" showErrorMessage="1" prompt="Immettere il nome della società in questa cella e lo slogan nella cella sottostante. Il titolo dell’offerta si trova nella cella a destra" sqref="B3:E3" xr:uid="{00000000-0002-0000-0000-000000000000}"/>
    <dataValidation allowBlank="1" showInputMessage="1" showErrorMessage="1" prompt="Immettere lo slogan aziendale in questa cella e l'indirizzo della società nelle celle sottostanti, dalla cella B4 alla cella B6" sqref="B4:E4" xr:uid="{00000000-0002-0000-0000-000001000000}"/>
    <dataValidation allowBlank="1" showInputMessage="1" showErrorMessage="1" prompt="Immettere via e numero civico della società in questa cella" sqref="B5:E5" xr:uid="{00000000-0002-0000-0000-000002000000}"/>
    <dataValidation allowBlank="1" showInputMessage="1" showErrorMessage="1" prompt="Immettere CAP, città e provincia della società in questa cella" sqref="B6:E6" xr:uid="{00000000-0002-0000-0000-000003000000}"/>
    <dataValidation allowBlank="1" showInputMessage="1" showErrorMessage="1" prompt="Immettere i numeri di telefono e fax della società in questa cella" sqref="B7:D7" xr:uid="{00000000-0002-0000-0000-000004000000}"/>
    <dataValidation allowBlank="1" showInputMessage="1" showErrorMessage="1" prompt="Immettere il nome del cliente, il nome della società, l'indirizzo e il numero di telefono nelle celle seguenti, dalla cella da B8 a B12, la data di fine dell'offerta nella cella G7 e preparata per nome nella cella G8" sqref="B8:C8" xr:uid="{00000000-0002-0000-0000-000005000000}"/>
    <dataValidation allowBlank="1" showInputMessage="1" showErrorMessage="1" prompt="Immettere il nome del cliente in questa cella" sqref="B9:E9" xr:uid="{00000000-0002-0000-0000-000006000000}"/>
    <dataValidation allowBlank="1" showInputMessage="1" showErrorMessage="1" prompt="Immettere il nome della società del cliente in questa cella" sqref="B10:E10" xr:uid="{00000000-0002-0000-0000-000007000000}"/>
    <dataValidation allowBlank="1" showInputMessage="1" showErrorMessage="1" prompt="Immettere l'indirizzo del cliente in questa cella" sqref="B11:E11" xr:uid="{00000000-0002-0000-0000-000008000000}"/>
    <dataValidation allowBlank="1" showInputMessage="1" showErrorMessage="1" prompt="Immettere CAP, città e provincia del cliente in questa cella" sqref="B12:E12" xr:uid="{00000000-0002-0000-0000-000009000000}"/>
    <dataValidation allowBlank="1" showInputMessage="1" showErrorMessage="1" prompt="Immettere il numero di telefono del cliente in questa cella" sqref="B13:E13" xr:uid="{00000000-0002-0000-0000-00000A000000}"/>
    <dataValidation allowBlank="1" showInputMessage="1" showErrorMessage="1" prompt="Immettere commenti o istruzioni speciali nella cella a destra" sqref="B14:C14" xr:uid="{00000000-0002-0000-0000-00000B000000}"/>
    <dataValidation allowBlank="1" showInputMessage="1" showErrorMessage="1" prompt="Immettere commenti o informazioni speciali in questa cella" sqref="D14:G14" xr:uid="{00000000-0002-0000-0000-00000C000000}"/>
    <dataValidation allowBlank="1" showInputMessage="1" showErrorMessage="1" prompt="Immettere i dettagli di spedizione nelle celle da B14 a G15 e i dettagli del prodotto nella tabella a partire dalla cella B17. Immettere il nome del venditore nella cella seguente" sqref="B15" xr:uid="{00000000-0002-0000-0000-00000D000000}"/>
    <dataValidation allowBlank="1" showInputMessage="1" showErrorMessage="1" prompt="Immettere il numero di ordine di acquisto nella cella sottostante" sqref="C15" xr:uid="{00000000-0002-0000-0000-00000E000000}"/>
    <dataValidation allowBlank="1" showInputMessage="1" showErrorMessage="1" prompt="Immettere la data di spedizione nella cella sottostante" sqref="D15" xr:uid="{00000000-0002-0000-0000-00000F000000}"/>
    <dataValidation allowBlank="1" showInputMessage="1" showErrorMessage="1" prompt="Immettere il nome del vettore di spedizione nella cella seguente" sqref="E15" xr:uid="{00000000-0002-0000-0000-000010000000}"/>
    <dataValidation allowBlank="1" showInputMessage="1" showErrorMessage="1" prompt="Immettere il punto di imbarco nella cella sottostante" sqref="F15" xr:uid="{00000000-0002-0000-0000-000011000000}"/>
    <dataValidation allowBlank="1" showInputMessage="1" showErrorMessage="1" prompt="Immettere le condizioni di offerta nella cella sottostante" sqref="G15" xr:uid="{00000000-0002-0000-0000-000012000000}"/>
    <dataValidation allowBlank="1" showInputMessage="1" showErrorMessage="1" prompt="Immettere il nome del venditore in questa cella" sqref="B16" xr:uid="{00000000-0002-0000-0000-000013000000}"/>
    <dataValidation allowBlank="1" showInputMessage="1" showErrorMessage="1" prompt="Immettere il numero dell'ordine di acquisto in questa cella" sqref="C16" xr:uid="{00000000-0002-0000-0000-000014000000}"/>
    <dataValidation allowBlank="1" showInputMessage="1" showErrorMessage="1" prompt="Immettere la data di spedizione in questa cella" sqref="D16" xr:uid="{00000000-0002-0000-0000-000015000000}"/>
    <dataValidation allowBlank="1" showInputMessage="1" showErrorMessage="1" prompt="Immettere il nome del vettore di spedizione in questa cella" sqref="E16" xr:uid="{00000000-0002-0000-0000-000016000000}"/>
    <dataValidation allowBlank="1" showInputMessage="1" showErrorMessage="1" prompt="Immettere il punto di imbarco in questa cella" sqref="F16" xr:uid="{00000000-0002-0000-0000-000017000000}"/>
    <dataValidation allowBlank="1" showInputMessage="1" showErrorMessage="1" prompt="Immettere i termini delle virgolette in questa cella" sqref="G16" xr:uid="{00000000-0002-0000-0000-000018000000}"/>
    <dataValidation allowBlank="1" showInputMessage="1" showErrorMessage="1" prompt="Immettere la quantità in questa colonna sotto questa intestazione" sqref="B18" xr:uid="{00000000-0002-0000-0000-000019000000}"/>
    <dataValidation allowBlank="1" showInputMessage="1" showErrorMessage="1" prompt="Immettere la descrizione in questa colonna sotto questa intestazione" sqref="C18" xr:uid="{00000000-0002-0000-0000-00001A000000}"/>
    <dataValidation allowBlank="1" showInputMessage="1" showErrorMessage="1" prompt="Immettere il prezzo unitario in questa colonna sotto questa intestazione" sqref="E18" xr:uid="{00000000-0002-0000-0000-00001B000000}"/>
    <dataValidation allowBlank="1" showInputMessage="1" showErrorMessage="1" prompt="L’importo viene calcolato automaticamente in questa colonna sotto l’intestazione e il subtotale viene calcolato automaticamente alla fine di questa tabella" sqref="G18" xr:uid="{00000000-0002-0000-0000-00001C000000}"/>
    <dataValidation allowBlank="1" showInputMessage="1" showErrorMessage="1" prompt="Immettere 'T' per gli elementi impostabili in questa colonna sotto questa intestazione" sqref="F18" xr:uid="{00000000-0002-0000-0000-00001D000000}"/>
    <dataValidation allowBlank="1" showInputMessage="1" showErrorMessage="1" prompt="Immettere un campo personalizzato in questa intestazione e i dati corrispondenti nella colonna sotto questa intestazione" sqref="D18" xr:uid="{00000000-0002-0000-0000-00001E000000}"/>
    <dataValidation allowBlank="1" showInputMessage="1" showErrorMessage="1" prompt="Aggiungi il nome del contatto della società, il numero di telefono e l'indirizzo di posta elettronica in questa cella" sqref="B29:G30" xr:uid="{00000000-0002-0000-0000-00001F000000}"/>
    <dataValidation allowBlank="1" showInputMessage="1" showErrorMessage="1" prompt="Creare un’offerta con il calcolo dell’imposta in questo foglio di lavoro. Immettere informazioni della società, clienti, offerta, spedizione e dettagli prodotti. Il totale viene calcolato automaticamente." sqref="A3" xr:uid="{00000000-0002-0000-0000-000020000000}"/>
    <dataValidation allowBlank="1" showInputMessage="1" showErrorMessage="1" prompt="Il totale da corrispondere viene calcolato automaticamente nella cella a destra" sqref="F28" xr:uid="{00000000-0002-0000-0000-000021000000}"/>
    <dataValidation allowBlank="1" showInputMessage="1" showErrorMessage="1" prompt="Il totale da corrispondere viene calcolato automaticamente in questa cella" sqref="G28" xr:uid="{00000000-0002-0000-0000-000022000000}"/>
    <dataValidation allowBlank="1" showInputMessage="1" showErrorMessage="1" prompt="Immettere l'importo di altro tipo nella cella a destra" sqref="F27" xr:uid="{00000000-0002-0000-0000-000023000000}"/>
    <dataValidation allowBlank="1" showInputMessage="1" showErrorMessage="1" prompt="Immettere l'importo di altro tipo in questa cella" sqref="G27" xr:uid="{00000000-0002-0000-0000-000024000000}"/>
    <dataValidation allowBlank="1" showInputMessage="1" showErrorMessage="1" prompt="L'importo dell'IVA viene calcolato automaticamente nella cella a destra" sqref="F26" xr:uid="{00000000-0002-0000-0000-000025000000}"/>
    <dataValidation allowBlank="1" showInputMessage="1" showErrorMessage="1" prompt="L'importo dell'IVA viene calcolato automaticamente in questa cella" sqref="G26" xr:uid="{00000000-0002-0000-0000-000026000000}"/>
    <dataValidation allowBlank="1" showInputMessage="1" showErrorMessage="1" prompt="Immettere l'aliquota d'imposta nella cella a destra" sqref="F25" xr:uid="{00000000-0002-0000-0000-000027000000}"/>
    <dataValidation allowBlank="1" showInputMessage="1" showErrorMessage="1" prompt="Immettere l'aliquota dell’imposta in questa cella" sqref="G25" xr:uid="{00000000-0002-0000-0000-000028000000}"/>
    <dataValidation allowBlank="1" showInputMessage="1" showErrorMessage="1" prompt="Immettere il nome della persona che ha preparato l’offerta in questa cella" sqref="G9:G10" xr:uid="{00000000-0002-0000-0000-000029000000}"/>
    <dataValidation allowBlank="1" showInputMessage="1" showErrorMessage="1" prompt="Immettere la data di scadenza dell’offerta in questa cella" sqref="G8" xr:uid="{00000000-0002-0000-0000-00002A000000}"/>
    <dataValidation allowBlank="1" showInputMessage="1" showErrorMessage="1" prompt="Immettere la data dell’offerta in questa cella" sqref="G4" xr:uid="{00000000-0002-0000-0000-00002B000000}"/>
    <dataValidation allowBlank="1" showInputMessage="1" showErrorMessage="1" prompt="Immettere l'ID cliente nella cella a destra" sqref="F6" xr:uid="{00000000-0002-0000-0000-00002C000000}"/>
    <dataValidation allowBlank="1" showInputMessage="1" showErrorMessage="1" prompt="Immettere la data dell’offerta nella cella a destra" sqref="F4" xr:uid="{00000000-0002-0000-0000-00002D000000}"/>
    <dataValidation allowBlank="1" showInputMessage="1" showErrorMessage="1" prompt="Immettere il numero dell’offerta nella cella a destra" sqref="F5" xr:uid="{00000000-0002-0000-0000-00002E000000}"/>
    <dataValidation allowBlank="1" showInputMessage="1" showErrorMessage="1" prompt="Immettere il numero dell’offerta in questa cella" sqref="G5" xr:uid="{00000000-0002-0000-0000-00002F000000}"/>
    <dataValidation allowBlank="1" showInputMessage="1" showErrorMessage="1" prompt="Immettere l'ID cliente in questa cella" sqref="G6" xr:uid="{00000000-0002-0000-0000-000030000000}"/>
    <dataValidation allowBlank="1" showInputMessage="1" showErrorMessage="1" prompt="Il titolo del foglio di lavoro si trova in questa cella. Immettere data, numero di offerta e ID cliente nelle celle da G2 a G5" sqref="F3:G3" xr:uid="{00000000-0002-0000-0000-000031000000}"/>
    <dataValidation allowBlank="1" showInputMessage="1" showErrorMessage="1" prompt="Immettere Prepared by name (Preparato in base al nome) nella cella a destra" sqref="F9 F9" xr:uid="{00000000-0002-0000-0000-000032000000}"/>
    <dataValidation allowBlank="1" showInputMessage="1" showErrorMessage="1" prompt="Immettere la data di fine delle virgolette nella cella a destra" sqref="F8" xr:uid="{00000000-0002-0000-0000-000033000000}"/>
  </dataValidations>
  <printOptions horizontalCentered="1"/>
  <pageMargins left="0.5" right="0.5" top="0.5" bottom="0.5" header="0.5" footer="0.5"/>
  <pageSetup paperSize="9" scale="80" fitToHeight="0" orientation="portrait" r:id="rId1"/>
  <headerFooter differentFirst="1">
    <oddFooter>Page &amp;P of &amp;N</oddFooter>
  </headerFooter>
  <ignoredErrors>
    <ignoredError sqref="G20:G23 G26" emptyCellReference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DBBB91-7A83-4350-906B-143E772261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DEF072-2ED4-4228-913D-9124C05ABB9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46D0C921-16B2-40A2-A24B-7E090F2FB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TM16400571</Templat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7</vt:i4>
      </vt:variant>
    </vt:vector>
  </HeadingPairs>
  <TitlesOfParts>
    <vt:vector size="8" baseType="lpstr">
      <vt:lpstr>Offerta</vt:lpstr>
      <vt:lpstr>AreaTitoloColonna1..B11.1</vt:lpstr>
      <vt:lpstr>AreaTitoloColonna2..G14.1</vt:lpstr>
      <vt:lpstr>AreaTitoloRiga1..G4</vt:lpstr>
      <vt:lpstr>RowTitleRegion3..D12</vt:lpstr>
      <vt:lpstr>RowTitleRegion4..G26</vt:lpstr>
      <vt:lpstr>Offerta!Titoli_stampa</vt:lpstr>
      <vt:lpstr>TitoloColonna1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2022-02-14T05:06:15Z</dcterms:created>
  <dcterms:modified xsi:type="dcterms:W3CDTF">2026-04-13T01:32:18Z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